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kouf\OneDrive\Desktop\CTS-130 SPREADSHEET\Module 3_2\"/>
    </mc:Choice>
  </mc:AlternateContent>
  <xr:revisionPtr revIDLastSave="0" documentId="13_ncr:1_{8D83FEB1-3672-44BA-A6BE-A1A6FAF7F68E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ocumentation" sheetId="11" r:id="rId1"/>
    <sheet name="2021 Water Projections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25" i="12" l="1"/>
  <c r="J24" i="12"/>
  <c r="J23" i="12"/>
  <c r="J22" i="12"/>
  <c r="J21" i="12"/>
  <c r="J20" i="12"/>
  <c r="D21" i="12"/>
  <c r="H16" i="12"/>
  <c r="G16" i="12"/>
  <c r="J15" i="12"/>
  <c r="J14" i="12"/>
  <c r="J13" i="12"/>
  <c r="J12" i="12"/>
  <c r="J11" i="12"/>
  <c r="J10" i="12"/>
  <c r="G15" i="12"/>
  <c r="G14" i="12"/>
  <c r="G13" i="12"/>
  <c r="G12" i="12"/>
  <c r="G11" i="12"/>
  <c r="G10" i="12"/>
  <c r="J5" i="12"/>
  <c r="J4" i="12"/>
  <c r="C5" i="12"/>
</calcChain>
</file>

<file path=xl/sharedStrings.xml><?xml version="1.0" encoding="utf-8"?>
<sst xmlns="http://schemas.openxmlformats.org/spreadsheetml/2006/main" count="35" uniqueCount="33">
  <si>
    <t>Author:</t>
  </si>
  <si>
    <t>George Koufie</t>
  </si>
  <si>
    <t>Note: Do not edit this sheet. If your name does not appear in cell B6, please download a new copy of the file from the SAM website.</t>
  </si>
  <si>
    <t>Sandhills-Sand River Water District</t>
  </si>
  <si>
    <t>2021 Water Projections</t>
  </si>
  <si>
    <t>Upper Winchester</t>
  </si>
  <si>
    <t>Peterborough</t>
  </si>
  <si>
    <t>Springfield</t>
  </si>
  <si>
    <t>Oakville</t>
  </si>
  <si>
    <t>Projected</t>
  </si>
  <si>
    <t>Measured Precipitation (inches)</t>
  </si>
  <si>
    <t>Historical average</t>
  </si>
  <si>
    <t>2021 to date</t>
  </si>
  <si>
    <t>Sand Hill Peak</t>
  </si>
  <si>
    <t>Rincon</t>
  </si>
  <si>
    <t>% capacity</t>
  </si>
  <si>
    <t>% historical average</t>
  </si>
  <si>
    <t>Reservoir Storage</t>
  </si>
  <si>
    <t>% of historical average</t>
  </si>
  <si>
    <t>Average</t>
  </si>
  <si>
    <t>As of</t>
  </si>
  <si>
    <t>Last updated</t>
  </si>
  <si>
    <t># of months accumulated</t>
  </si>
  <si>
    <t># of months remaining</t>
  </si>
  <si>
    <t>Precipitation Measurements</t>
  </si>
  <si>
    <t>Reservoir</t>
  </si>
  <si>
    <t>% capacity 12/31/21</t>
  </si>
  <si>
    <t>2021 precipitation (inches)</t>
  </si>
  <si>
    <t>Reservoir Summary</t>
  </si>
  <si>
    <t>% historical avg</t>
  </si>
  <si>
    <t>#</t>
  </si>
  <si>
    <t>PERFORM CALCULATIONS WITH FORMULAS AND FUNCTIONS</t>
  </si>
  <si>
    <r>
      <t xml:space="preserve">New Perspectives Excel 2019 | </t>
    </r>
    <r>
      <rPr>
        <sz val="10"/>
        <color theme="0"/>
        <rFont val="Century Gothic"/>
        <family val="2"/>
      </rPr>
      <t>Module 3: End of Module Project 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</si>
</sst>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0"/>
      <name val="Century Gothic"/>
      <family val="2"/>
    </font>
    <font>
      <b/>
      <sz val="10"/>
      <color theme="0"/>
      <name val="Century Gothic"/>
      <family val="2"/>
    </font>
    <font>
      <sz val="10"/>
      <name val="Century Gothic"/>
      <family val="2"/>
    </font>
    <font>
      <sz val="28"/>
      <color rgb="FF0070C0"/>
      <name val="Century Gothic"/>
      <family val="2"/>
    </font>
    <font>
      <sz val="10"/>
      <color rgb="FF0070C0"/>
      <name val="Century Gothic"/>
      <family val="2"/>
    </font>
    <font>
      <sz val="11"/>
      <color rgb="FF000000"/>
      <name val="Century Gothic"/>
      <family val="2"/>
    </font>
    <font>
      <sz val="11"/>
      <color rgb="FF4B4C4C"/>
      <name val="Century Gothic"/>
      <family val="2"/>
    </font>
    <font>
      <i/>
      <sz val="10"/>
      <color rgb="FFCC6600"/>
      <name val="Century Gothic"/>
      <family val="2"/>
    </font>
    <font>
      <i/>
      <sz val="10"/>
      <name val="Century Gothic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E3460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</fills>
  <borders count="8">
    <border>
      <left/>
      <right/>
      <top/>
      <bottom/>
      <diagonal/>
    </border>
    <border>
      <left/>
      <right/>
      <top/>
      <bottom style="thin">
        <color rgb="FFE34601"/>
      </bottom>
      <diagonal/>
    </border>
    <border>
      <left/>
      <right style="thick">
        <color rgb="FF93A5B2"/>
      </right>
      <top/>
      <bottom style="thin">
        <color rgb="FFE34601"/>
      </bottom>
      <diagonal/>
    </border>
    <border>
      <left/>
      <right style="thick">
        <color rgb="FF93A5B2"/>
      </right>
      <top/>
      <bottom/>
      <diagonal/>
    </border>
    <border>
      <left/>
      <right/>
      <top/>
      <bottom style="thin">
        <color rgb="FF93A5B2"/>
      </bottom>
      <diagonal/>
    </border>
    <border>
      <left/>
      <right/>
      <top/>
      <bottom style="thick">
        <color rgb="FF93A5B2"/>
      </bottom>
      <diagonal/>
    </border>
    <border>
      <left/>
      <right style="thick">
        <color rgb="FF93A5B2"/>
      </right>
      <top/>
      <bottom style="thick">
        <color rgb="FF93A5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4" fillId="0" borderId="0"/>
    <xf numFmtId="0" fontId="3" fillId="0" borderId="0"/>
    <xf numFmtId="0" fontId="8" fillId="3" borderId="0">
      <alignment vertical="top" wrapText="1"/>
    </xf>
    <xf numFmtId="0" fontId="10" fillId="3" borderId="0">
      <alignment vertical="top" wrapText="1"/>
    </xf>
    <xf numFmtId="9" fontId="14" fillId="0" borderId="0" applyFont="0" applyFill="0" applyBorder="0" applyAlignment="0" applyProtection="0"/>
    <xf numFmtId="0" fontId="16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16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</cellStyleXfs>
  <cellXfs count="49">
    <xf numFmtId="0" fontId="0" fillId="0" borderId="0" xfId="0"/>
    <xf numFmtId="0" fontId="5" fillId="2" borderId="1" xfId="1" applyFont="1" applyFill="1" applyBorder="1" applyAlignment="1">
      <alignment vertical="center"/>
    </xf>
    <xf numFmtId="0" fontId="7" fillId="2" borderId="2" xfId="1" applyFont="1" applyFill="1" applyBorder="1" applyAlignment="1">
      <alignment horizontal="left"/>
    </xf>
    <xf numFmtId="0" fontId="4" fillId="0" borderId="0" xfId="1" applyFill="1"/>
    <xf numFmtId="0" fontId="7" fillId="0" borderId="0" xfId="1" applyFont="1" applyFill="1" applyBorder="1" applyAlignment="1">
      <alignment vertical="center"/>
    </xf>
    <xf numFmtId="0" fontId="3" fillId="0" borderId="0" xfId="2"/>
    <xf numFmtId="0" fontId="7" fillId="3" borderId="3" xfId="1" applyFont="1" applyFill="1" applyBorder="1" applyAlignment="1">
      <alignment horizontal="left"/>
    </xf>
    <xf numFmtId="0" fontId="7" fillId="3" borderId="0" xfId="1" applyFont="1" applyFill="1" applyBorder="1" applyAlignment="1">
      <alignment horizontal="left"/>
    </xf>
    <xf numFmtId="0" fontId="8" fillId="3" borderId="0" xfId="3" applyBorder="1" applyAlignment="1">
      <alignment horizontal="left" vertical="top" wrapText="1"/>
    </xf>
    <xf numFmtId="0" fontId="9" fillId="3" borderId="3" xfId="1" applyFont="1" applyFill="1" applyBorder="1" applyAlignment="1">
      <alignment horizontal="left" wrapText="1"/>
    </xf>
    <xf numFmtId="0" fontId="4" fillId="0" borderId="0" xfId="1" applyFill="1" applyAlignment="1">
      <alignment wrapText="1"/>
    </xf>
    <xf numFmtId="0" fontId="11" fillId="3" borderId="0" xfId="4" applyFont="1" applyBorder="1" applyAlignment="1">
      <alignment horizontal="left" vertical="top" wrapText="1"/>
    </xf>
    <xf numFmtId="0" fontId="7" fillId="3" borderId="0" xfId="1" applyFont="1" applyFill="1" applyBorder="1" applyAlignment="1">
      <alignment horizontal="right"/>
    </xf>
    <xf numFmtId="0" fontId="12" fillId="4" borderId="4" xfId="1" applyFont="1" applyFill="1" applyBorder="1" applyAlignment="1">
      <alignment horizontal="left"/>
    </xf>
    <xf numFmtId="9" fontId="0" fillId="0" borderId="0" xfId="5" applyFont="1"/>
    <xf numFmtId="0" fontId="0" fillId="0" borderId="0" xfId="0" quotePrefix="1"/>
    <xf numFmtId="14" fontId="2" fillId="10" borderId="0" xfId="11" applyNumberFormat="1"/>
    <xf numFmtId="0" fontId="2" fillId="11" borderId="0" xfId="12"/>
    <xf numFmtId="0" fontId="2" fillId="10" borderId="0" xfId="11"/>
    <xf numFmtId="0" fontId="16" fillId="9" borderId="0" xfId="10"/>
    <xf numFmtId="0" fontId="2" fillId="6" borderId="0" xfId="7"/>
    <xf numFmtId="164" fontId="2" fillId="6" borderId="0" xfId="7" applyNumberFormat="1"/>
    <xf numFmtId="9" fontId="2" fillId="6" borderId="0" xfId="7" applyNumberFormat="1"/>
    <xf numFmtId="164" fontId="16" fillId="5" borderId="0" xfId="6" applyNumberFormat="1"/>
    <xf numFmtId="164" fontId="2" fillId="11" borderId="0" xfId="12" applyNumberFormat="1"/>
    <xf numFmtId="164" fontId="15" fillId="11" borderId="0" xfId="12" applyNumberFormat="1" applyFont="1"/>
    <xf numFmtId="0" fontId="2" fillId="6" borderId="0" xfId="7" applyAlignment="1">
      <alignment horizontal="left"/>
    </xf>
    <xf numFmtId="0" fontId="2" fillId="12" borderId="7" xfId="13" applyBorder="1" applyAlignment="1">
      <alignment vertical="center"/>
    </xf>
    <xf numFmtId="0" fontId="2" fillId="12" borderId="7" xfId="13" applyBorder="1" applyAlignment="1">
      <alignment horizontal="center"/>
    </xf>
    <xf numFmtId="0" fontId="1" fillId="6" borderId="0" xfId="7" applyFont="1" applyAlignment="1">
      <alignment horizontal="left"/>
    </xf>
    <xf numFmtId="0" fontId="0" fillId="0" borderId="0" xfId="0" applyAlignment="1"/>
    <xf numFmtId="0" fontId="2" fillId="10" borderId="0" xfId="11" applyAlignment="1">
      <alignment horizontal="center" vertical="center"/>
    </xf>
    <xf numFmtId="0" fontId="6" fillId="2" borderId="1" xfId="1" applyFont="1" applyFill="1" applyBorder="1" applyAlignment="1">
      <alignment vertical="center"/>
    </xf>
    <xf numFmtId="0" fontId="13" fillId="3" borderId="0" xfId="1" applyFont="1" applyFill="1" applyBorder="1" applyAlignment="1">
      <alignment horizontal="center" vertical="center" wrapText="1"/>
    </xf>
    <xf numFmtId="0" fontId="13" fillId="3" borderId="3" xfId="1" applyFont="1" applyFill="1" applyBorder="1" applyAlignment="1">
      <alignment horizontal="center" vertical="center" wrapText="1"/>
    </xf>
    <xf numFmtId="0" fontId="13" fillId="3" borderId="5" xfId="1" applyFont="1" applyFill="1" applyBorder="1" applyAlignment="1">
      <alignment horizontal="center" vertical="center" wrapText="1"/>
    </xf>
    <xf numFmtId="0" fontId="13" fillId="3" borderId="6" xfId="1" applyFont="1" applyFill="1" applyBorder="1" applyAlignment="1">
      <alignment horizontal="center" vertical="center" wrapText="1"/>
    </xf>
    <xf numFmtId="0" fontId="17" fillId="5" borderId="0" xfId="6" applyFont="1" applyAlignment="1">
      <alignment horizontal="center"/>
    </xf>
    <xf numFmtId="0" fontId="2" fillId="6" borderId="0" xfId="7" applyAlignment="1">
      <alignment horizontal="center"/>
    </xf>
    <xf numFmtId="0" fontId="2" fillId="7" borderId="0" xfId="8" quotePrefix="1" applyAlignment="1">
      <alignment horizontal="right"/>
    </xf>
    <xf numFmtId="0" fontId="2" fillId="12" borderId="7" xfId="13" applyBorder="1" applyAlignment="1">
      <alignment horizontal="center" vertical="center"/>
    </xf>
    <xf numFmtId="0" fontId="2" fillId="12" borderId="7" xfId="13" applyBorder="1" applyAlignment="1">
      <alignment horizontal="center" vertical="center" wrapText="1"/>
    </xf>
    <xf numFmtId="0" fontId="18" fillId="12" borderId="0" xfId="13" applyFont="1" applyAlignment="1">
      <alignment horizontal="center"/>
    </xf>
    <xf numFmtId="0" fontId="2" fillId="7" borderId="0" xfId="8" applyAlignment="1">
      <alignment horizontal="right"/>
    </xf>
    <xf numFmtId="14" fontId="2" fillId="7" borderId="0" xfId="8" applyNumberFormat="1" applyAlignment="1">
      <alignment horizontal="right"/>
    </xf>
    <xf numFmtId="0" fontId="19" fillId="8" borderId="0" xfId="9" applyFont="1" applyAlignment="1">
      <alignment horizontal="center"/>
    </xf>
    <xf numFmtId="0" fontId="18" fillId="8" borderId="0" xfId="9" applyFont="1" applyAlignment="1">
      <alignment horizontal="center"/>
    </xf>
    <xf numFmtId="0" fontId="2" fillId="8" borderId="0" xfId="9" applyAlignment="1">
      <alignment horizontal="left"/>
    </xf>
    <xf numFmtId="0" fontId="16" fillId="5" borderId="0" xfId="6" applyAlignment="1">
      <alignment horizontal="center" vertical="center"/>
    </xf>
  </cellXfs>
  <cellStyles count="14">
    <cellStyle name="20% - Accent1" xfId="7" builtinId="30"/>
    <cellStyle name="20% - Accent3" xfId="11" builtinId="38"/>
    <cellStyle name="40% - Accent1" xfId="8" builtinId="31"/>
    <cellStyle name="40% - Accent3" xfId="12" builtinId="39"/>
    <cellStyle name="60% - Accent1" xfId="9" builtinId="32"/>
    <cellStyle name="60% - Accent3" xfId="13" builtinId="40"/>
    <cellStyle name="Accent1" xfId="6" builtinId="29"/>
    <cellStyle name="Accent3" xfId="10" builtinId="37"/>
    <cellStyle name="Normal" xfId="0" builtinId="0"/>
    <cellStyle name="Normal 2" xfId="2" xr:uid="{00000000-0005-0000-0000-000009000000}"/>
    <cellStyle name="Normal 2 2" xfId="1" xr:uid="{00000000-0005-0000-0000-00000A000000}"/>
    <cellStyle name="Percent" xfId="5" builtinId="5"/>
    <cellStyle name="Student Name" xfId="3" xr:uid="{00000000-0005-0000-0000-00000C000000}"/>
    <cellStyle name="Submission" xfId="4" xr:uid="{00000000-0005-0000-0000-00000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4689677</xdr:colOff>
      <xdr:row>0</xdr:row>
      <xdr:rowOff>0</xdr:rowOff>
    </xdr:from>
    <xdr:to>
      <xdr:col>3</xdr:col>
      <xdr:colOff>0</xdr:colOff>
      <xdr:row>1</xdr:row>
      <xdr:rowOff>7640</xdr:rowOff>
    </xdr:to>
    <xdr:pic>
      <xdr:nvPicPr>
        <xdr:cNvPr id="2" name="Picture 1" descr="SAM logo" title="SAM logo">
          <a:extLst>
            <a:ext uri="{FF2B5EF4-FFF2-40B4-BE49-F238E27FC236}">
              <a16:creationId xmlns:a16="http://schemas.microsoft.com/office/drawing/2014/main" id="{09BD8EAA-33FC-43F0-B1D7-00085DE8F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4037" y="0"/>
          <a:ext cx="1787323" cy="41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showGridLines="0" zoomScaleNormal="100" workbookViewId="0">
      <selection activeCell="E1" sqref="E1"/>
    </sheetView>
  </sheetViews>
  <sheetFormatPr defaultColWidth="8.85546875" defaultRowHeight="12.75" x14ac:dyDescent="0.2"/>
  <cols>
    <col min="1" max="1" width="8.7109375" style="3" customWidth="1"/>
    <col min="2" max="2" width="90.7109375" style="3" customWidth="1"/>
    <col min="3" max="3" width="3.7109375" style="3" customWidth="1"/>
    <col min="4" max="16384" width="8.85546875" style="3"/>
  </cols>
  <sheetData>
    <row r="1" spans="1:3" ht="32.25" customHeight="1" x14ac:dyDescent="0.25">
      <c r="A1" s="1"/>
      <c r="B1" s="32" t="s">
        <v>32</v>
      </c>
      <c r="C1" s="2"/>
    </row>
    <row r="2" spans="1:3" ht="5.0999999999999996" customHeight="1" x14ac:dyDescent="0.25">
      <c r="A2" s="4"/>
      <c r="B2" s="5"/>
      <c r="C2" s="6"/>
    </row>
    <row r="3" spans="1:3" s="10" customFormat="1" ht="34.5" x14ac:dyDescent="0.25">
      <c r="A3" s="7"/>
      <c r="B3" s="8" t="s">
        <v>3</v>
      </c>
      <c r="C3" s="9"/>
    </row>
    <row r="4" spans="1:3" ht="16.5" x14ac:dyDescent="0.25">
      <c r="A4" s="7"/>
      <c r="B4" s="11" t="s">
        <v>31</v>
      </c>
      <c r="C4" s="6"/>
    </row>
    <row r="5" spans="1:3" ht="15.75" customHeight="1" x14ac:dyDescent="0.25">
      <c r="A5" s="7"/>
      <c r="B5" s="7"/>
      <c r="C5" s="6"/>
    </row>
    <row r="6" spans="1:3" ht="13.5" x14ac:dyDescent="0.25">
      <c r="A6" s="12" t="s">
        <v>0</v>
      </c>
      <c r="B6" s="13" t="s">
        <v>1</v>
      </c>
      <c r="C6" s="6"/>
    </row>
    <row r="7" spans="1:3" ht="13.5" x14ac:dyDescent="0.25">
      <c r="A7" s="7"/>
      <c r="B7" s="7"/>
      <c r="C7" s="6"/>
    </row>
    <row r="8" spans="1:3" x14ac:dyDescent="0.2">
      <c r="A8" s="33" t="s">
        <v>2</v>
      </c>
      <c r="B8" s="33"/>
      <c r="C8" s="34"/>
    </row>
    <row r="9" spans="1:3" x14ac:dyDescent="0.2">
      <c r="A9" s="33"/>
      <c r="B9" s="33"/>
      <c r="C9" s="34"/>
    </row>
    <row r="10" spans="1:3" ht="13.5" thickBot="1" x14ac:dyDescent="0.25">
      <c r="A10" s="35"/>
      <c r="B10" s="35"/>
      <c r="C10" s="36"/>
    </row>
    <row r="11" spans="1:3" ht="13.5" thickTop="1" x14ac:dyDescent="0.2"/>
  </sheetData>
  <mergeCells count="1">
    <mergeCell ref="A8:C10"/>
  </mergeCells>
  <dataValidations count="2">
    <dataValidation allowBlank="1" showInputMessage="1" showErrorMessage="1" error="                                                                " sqref="J3" xr:uid="{00000000-0002-0000-0000-000000000000}"/>
    <dataValidation allowBlank="1" error="pavI8MeUFtEyxX2I4tkya68c5a3b-cb6d-4eff-8610-9538d9e9a9be" sqref="A1:C2 A3:C3 A4:C11" xr:uid="{00000000-0002-0000-0000-000001000000}"/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5"/>
  <sheetViews>
    <sheetView tabSelected="1" topLeftCell="A6" workbookViewId="0">
      <selection activeCell="J26" sqref="J26"/>
    </sheetView>
  </sheetViews>
  <sheetFormatPr defaultRowHeight="12.75" x14ac:dyDescent="0.2"/>
  <cols>
    <col min="1" max="1" width="20.85546875" customWidth="1"/>
    <col min="2" max="2" width="2" bestFit="1" customWidth="1"/>
    <col min="3" max="10" width="11" customWidth="1"/>
    <col min="11" max="11" width="17.42578125" bestFit="1" customWidth="1"/>
  </cols>
  <sheetData>
    <row r="1" spans="1:13" ht="21" x14ac:dyDescent="0.35">
      <c r="A1" s="37" t="s">
        <v>3</v>
      </c>
      <c r="B1" s="37"/>
      <c r="C1" s="37"/>
      <c r="D1" s="37"/>
      <c r="E1" s="37"/>
      <c r="F1" s="37"/>
      <c r="G1" s="37"/>
      <c r="H1" s="37"/>
      <c r="I1" s="37"/>
      <c r="J1" s="37"/>
    </row>
    <row r="2" spans="1:13" ht="15" x14ac:dyDescent="0.25">
      <c r="A2" s="38" t="s">
        <v>4</v>
      </c>
      <c r="B2" s="38"/>
      <c r="C2" s="38"/>
      <c r="D2" s="38"/>
      <c r="E2" s="38"/>
      <c r="F2" s="38"/>
      <c r="G2" s="38"/>
      <c r="H2" s="38"/>
      <c r="I2" s="38"/>
      <c r="J2" s="38"/>
    </row>
    <row r="4" spans="1:13" ht="15" x14ac:dyDescent="0.25">
      <c r="A4" s="43" t="s">
        <v>20</v>
      </c>
      <c r="B4" s="43"/>
      <c r="C4" s="16">
        <v>44469</v>
      </c>
      <c r="G4" s="39" t="s">
        <v>22</v>
      </c>
      <c r="H4" s="39"/>
      <c r="I4" s="39"/>
      <c r="J4" s="18">
        <f>MONTH(C4)</f>
        <v>9</v>
      </c>
    </row>
    <row r="5" spans="1:13" ht="15" x14ac:dyDescent="0.25">
      <c r="A5" s="44" t="s">
        <v>21</v>
      </c>
      <c r="B5" s="44"/>
      <c r="C5" s="16">
        <f ca="1">TODAY()</f>
        <v>44610</v>
      </c>
      <c r="G5" s="39" t="s">
        <v>23</v>
      </c>
      <c r="H5" s="39"/>
      <c r="I5" s="39"/>
      <c r="J5" s="18">
        <f>12-J4</f>
        <v>3</v>
      </c>
    </row>
    <row r="6" spans="1:13" x14ac:dyDescent="0.2">
      <c r="F6" s="15"/>
      <c r="G6" s="15"/>
      <c r="H6" s="15"/>
    </row>
    <row r="7" spans="1:13" ht="18.75" x14ac:dyDescent="0.3">
      <c r="C7" s="42" t="s">
        <v>24</v>
      </c>
      <c r="D7" s="42"/>
      <c r="E7" s="42"/>
      <c r="F7" s="42"/>
      <c r="G7" s="42"/>
      <c r="H7" s="42"/>
      <c r="I7" s="42"/>
      <c r="J7" s="42"/>
      <c r="M7" s="30"/>
    </row>
    <row r="8" spans="1:13" ht="30.75" customHeight="1" x14ac:dyDescent="0.2">
      <c r="C8" s="40" t="s">
        <v>10</v>
      </c>
      <c r="D8" s="40"/>
      <c r="E8" s="40"/>
      <c r="F8" s="40"/>
      <c r="G8" s="27" t="s">
        <v>9</v>
      </c>
      <c r="H8" s="41" t="s">
        <v>11</v>
      </c>
      <c r="I8" s="41" t="s">
        <v>12</v>
      </c>
      <c r="J8" s="41" t="s">
        <v>18</v>
      </c>
    </row>
    <row r="9" spans="1:13" ht="15" x14ac:dyDescent="0.25">
      <c r="B9" t="s">
        <v>30</v>
      </c>
      <c r="C9" s="28">
        <v>2017</v>
      </c>
      <c r="D9" s="28">
        <v>2018</v>
      </c>
      <c r="E9" s="28">
        <v>2019</v>
      </c>
      <c r="F9" s="28">
        <v>2020</v>
      </c>
      <c r="G9" s="28">
        <v>2021</v>
      </c>
      <c r="H9" s="41"/>
      <c r="I9" s="41"/>
      <c r="J9" s="41"/>
    </row>
    <row r="10" spans="1:13" ht="15" x14ac:dyDescent="0.25">
      <c r="A10" s="19" t="s">
        <v>13</v>
      </c>
      <c r="B10" s="19">
        <v>1</v>
      </c>
      <c r="C10" s="20">
        <v>18.100000000000001</v>
      </c>
      <c r="D10" s="20">
        <v>19.5</v>
      </c>
      <c r="E10" s="20">
        <v>16.8</v>
      </c>
      <c r="F10" s="20">
        <v>11</v>
      </c>
      <c r="G10" s="21">
        <f>ROUND(AVERAGE(C10:F10),1)</f>
        <v>16.399999999999999</v>
      </c>
      <c r="H10" s="20">
        <v>19.3</v>
      </c>
      <c r="I10" s="20">
        <v>8.1</v>
      </c>
      <c r="J10" s="22">
        <f>I10/H10</f>
        <v>0.41968911917098445</v>
      </c>
    </row>
    <row r="11" spans="1:13" ht="15" x14ac:dyDescent="0.25">
      <c r="A11" s="19" t="s">
        <v>5</v>
      </c>
      <c r="B11" s="19">
        <v>2</v>
      </c>
      <c r="C11" s="20">
        <v>27.2</v>
      </c>
      <c r="D11" s="20">
        <v>30.8</v>
      </c>
      <c r="E11" s="20">
        <v>28.4</v>
      </c>
      <c r="F11" s="20">
        <v>16.399999999999999</v>
      </c>
      <c r="G11" s="21">
        <f t="shared" ref="G11:G15" si="0">ROUND(AVERAGE(C11:F11),1)</f>
        <v>25.7</v>
      </c>
      <c r="H11" s="20">
        <v>27.8</v>
      </c>
      <c r="I11" s="20">
        <v>11.3</v>
      </c>
      <c r="J11" s="22">
        <f t="shared" ref="J11:J15" si="1">I11/H11</f>
        <v>0.40647482014388492</v>
      </c>
    </row>
    <row r="12" spans="1:13" ht="15" x14ac:dyDescent="0.25">
      <c r="A12" s="19" t="s">
        <v>6</v>
      </c>
      <c r="B12" s="19">
        <v>3</v>
      </c>
      <c r="C12" s="20">
        <v>30.8</v>
      </c>
      <c r="D12" s="20">
        <v>39.299999999999997</v>
      </c>
      <c r="E12" s="20">
        <v>36.299999999999997</v>
      </c>
      <c r="F12" s="20">
        <v>28.8</v>
      </c>
      <c r="G12" s="21">
        <f t="shared" si="0"/>
        <v>33.799999999999997</v>
      </c>
      <c r="H12" s="20">
        <v>33.9</v>
      </c>
      <c r="I12" s="20">
        <v>14.4</v>
      </c>
      <c r="J12" s="22">
        <f t="shared" si="1"/>
        <v>0.42477876106194695</v>
      </c>
    </row>
    <row r="13" spans="1:13" ht="15" x14ac:dyDescent="0.25">
      <c r="A13" s="19" t="s">
        <v>7</v>
      </c>
      <c r="B13" s="19">
        <v>4</v>
      </c>
      <c r="C13" s="20">
        <v>13.9</v>
      </c>
      <c r="D13" s="20">
        <v>21.4</v>
      </c>
      <c r="E13" s="20">
        <v>18.7</v>
      </c>
      <c r="F13" s="20">
        <v>12.6</v>
      </c>
      <c r="G13" s="21">
        <f t="shared" si="0"/>
        <v>16.7</v>
      </c>
      <c r="H13" s="20">
        <v>21.4</v>
      </c>
      <c r="I13" s="20">
        <v>6.6</v>
      </c>
      <c r="J13" s="22">
        <f t="shared" si="1"/>
        <v>0.30841121495327101</v>
      </c>
    </row>
    <row r="14" spans="1:13" ht="15" x14ac:dyDescent="0.25">
      <c r="A14" s="19" t="s">
        <v>14</v>
      </c>
      <c r="B14" s="19">
        <v>5</v>
      </c>
      <c r="C14" s="20">
        <v>36.6</v>
      </c>
      <c r="D14" s="20">
        <v>41.2</v>
      </c>
      <c r="E14" s="20">
        <v>35.5</v>
      </c>
      <c r="F14" s="20">
        <v>29.2</v>
      </c>
      <c r="G14" s="21">
        <f t="shared" si="0"/>
        <v>35.6</v>
      </c>
      <c r="H14" s="20">
        <v>29.9</v>
      </c>
      <c r="I14" s="20">
        <v>14.5</v>
      </c>
      <c r="J14" s="22">
        <f t="shared" si="1"/>
        <v>0.48494983277591974</v>
      </c>
    </row>
    <row r="15" spans="1:13" ht="15" x14ac:dyDescent="0.25">
      <c r="A15" s="19" t="s">
        <v>8</v>
      </c>
      <c r="B15" s="19">
        <v>6</v>
      </c>
      <c r="C15" s="20">
        <v>16.7</v>
      </c>
      <c r="D15" s="20">
        <v>21.8</v>
      </c>
      <c r="E15" s="20">
        <v>14.8</v>
      </c>
      <c r="F15" s="20">
        <v>11.1</v>
      </c>
      <c r="G15" s="21">
        <f t="shared" si="0"/>
        <v>16.100000000000001</v>
      </c>
      <c r="H15" s="20">
        <v>18.100000000000001</v>
      </c>
      <c r="I15" s="20">
        <v>5.4</v>
      </c>
      <c r="J15" s="22">
        <f t="shared" si="1"/>
        <v>0.2983425414364641</v>
      </c>
    </row>
    <row r="16" spans="1:13" ht="15" x14ac:dyDescent="0.25">
      <c r="A16" s="19" t="s">
        <v>19</v>
      </c>
      <c r="B16" s="19"/>
      <c r="G16" s="23">
        <f>ROUND(AVERAGE(G10:G15),1)</f>
        <v>24.1</v>
      </c>
      <c r="H16" s="23">
        <f>ROUND(AVERAGE(H10:H15),1)</f>
        <v>25.1</v>
      </c>
      <c r="J16" s="14"/>
    </row>
    <row r="18" spans="1:10" ht="21" x14ac:dyDescent="0.35">
      <c r="A18" s="45" t="s">
        <v>17</v>
      </c>
      <c r="B18" s="45"/>
      <c r="C18" s="45"/>
      <c r="D18" s="45"/>
      <c r="H18" s="46" t="s">
        <v>28</v>
      </c>
      <c r="I18" s="46"/>
      <c r="J18" s="46"/>
    </row>
    <row r="19" spans="1:10" ht="15" x14ac:dyDescent="0.25">
      <c r="A19" s="26" t="s">
        <v>15</v>
      </c>
      <c r="B19" s="26"/>
      <c r="C19" s="26"/>
      <c r="D19" s="17">
        <v>16</v>
      </c>
      <c r="H19" s="48" t="s">
        <v>25</v>
      </c>
      <c r="I19" s="48"/>
      <c r="J19" s="31">
        <v>1</v>
      </c>
    </row>
    <row r="20" spans="1:10" ht="15" x14ac:dyDescent="0.25">
      <c r="A20" s="26" t="s">
        <v>16</v>
      </c>
      <c r="B20" s="26"/>
      <c r="C20" s="26"/>
      <c r="D20" s="17">
        <v>87</v>
      </c>
      <c r="H20" s="47">
        <v>2017</v>
      </c>
      <c r="I20" s="47"/>
      <c r="J20" s="21">
        <f>VLOOKUP($J$19,$B$10:$J$15,2)</f>
        <v>18.100000000000001</v>
      </c>
    </row>
    <row r="21" spans="1:10" ht="15" x14ac:dyDescent="0.25">
      <c r="A21" s="29" t="s">
        <v>26</v>
      </c>
      <c r="B21" s="26"/>
      <c r="C21" s="26"/>
      <c r="D21" s="24">
        <f>(D22*2.83)+D19</f>
        <v>100</v>
      </c>
      <c r="H21" s="47">
        <v>2018</v>
      </c>
      <c r="I21" s="47"/>
      <c r="J21" s="21">
        <f>VLOOKUP($J$19,$B$10:$J$15,3)</f>
        <v>19.5</v>
      </c>
    </row>
    <row r="22" spans="1:10" ht="15" x14ac:dyDescent="0.25">
      <c r="A22" s="29" t="s">
        <v>27</v>
      </c>
      <c r="B22" s="26"/>
      <c r="C22" s="26"/>
      <c r="D22" s="25">
        <v>29.68197879858657</v>
      </c>
      <c r="H22" s="47">
        <v>2019</v>
      </c>
      <c r="I22" s="47"/>
      <c r="J22" s="21">
        <f>VLOOKUP($J$19,$B$10:$J$15,4)</f>
        <v>16.8</v>
      </c>
    </row>
    <row r="23" spans="1:10" ht="15" x14ac:dyDescent="0.25">
      <c r="H23" s="47">
        <v>2020</v>
      </c>
      <c r="I23" s="47"/>
      <c r="J23" s="21">
        <f>VLOOKUP($J$19,$B$10:$J$15,5)</f>
        <v>11</v>
      </c>
    </row>
    <row r="24" spans="1:10" ht="15" x14ac:dyDescent="0.25">
      <c r="H24" s="47" t="s">
        <v>12</v>
      </c>
      <c r="I24" s="47"/>
      <c r="J24" s="21">
        <f>VLOOKUP($J$19,$B$10:$J$15,8)</f>
        <v>8.1</v>
      </c>
    </row>
    <row r="25" spans="1:10" ht="15" x14ac:dyDescent="0.25">
      <c r="H25" s="47" t="s">
        <v>29</v>
      </c>
      <c r="I25" s="47"/>
      <c r="J25" s="22">
        <f>VLOOKUP($J$19,$B$10:$J$15,9)</f>
        <v>0.41968911917098445</v>
      </c>
    </row>
  </sheetData>
  <mergeCells count="20">
    <mergeCell ref="A18:D18"/>
    <mergeCell ref="H18:J18"/>
    <mergeCell ref="H24:I24"/>
    <mergeCell ref="H25:I25"/>
    <mergeCell ref="H19:I19"/>
    <mergeCell ref="H20:I20"/>
    <mergeCell ref="H21:I21"/>
    <mergeCell ref="H22:I22"/>
    <mergeCell ref="H23:I23"/>
    <mergeCell ref="A1:J1"/>
    <mergeCell ref="A2:J2"/>
    <mergeCell ref="G4:I4"/>
    <mergeCell ref="G5:I5"/>
    <mergeCell ref="C8:F8"/>
    <mergeCell ref="H8:H9"/>
    <mergeCell ref="I8:I9"/>
    <mergeCell ref="J8:J9"/>
    <mergeCell ref="C7:J7"/>
    <mergeCell ref="A4:B4"/>
    <mergeCell ref="A5:B5"/>
  </mergeCells>
  <dataValidations count="1">
    <dataValidation allowBlank="1" error="pavI8MeUFtEyxX2I4tkya68c5a3b-cb6d-4eff-8610-9538d9e9a9be" sqref="A1:M25" xr:uid="{00000000-0002-0000-0100-000000000000}"/>
  </dataValidations>
  <pageMargins left="0.7" right="0.7" top="0.75" bottom="0.75" header="0.3" footer="0.3"/>
  <pageSetup paperSize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radingEngineProps xmlns="http://tempuri.org/temp">
  <UserID>{a68c5a3b-cb6d-4eff-8610-9538d9e9a9be}</UserID>
  <AssignmentID>{a68c5a3b-cb6d-4eff-8610-9538d9e9a9be}</AssignmentID>
</GradingEngineProps>
</file>

<file path=customXml/itemProps1.xml><?xml version="1.0" encoding="utf-8"?>
<ds:datastoreItem xmlns:ds="http://schemas.openxmlformats.org/officeDocument/2006/customXml" ds:itemID="{E4C9E529-D3A3-4FE5-9F68-6717473C2C0E}">
  <ds:schemaRefs>
    <ds:schemaRef ds:uri="http://tempuri.org/tem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Documentation</vt:lpstr>
      <vt:lpstr>2021 Water Projections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keywords>© 2020 Cengage Learning.</cp:keywords>
  <cp:lastModifiedBy>Kwesi Koufie</cp:lastModifiedBy>
  <dcterms:created xsi:type="dcterms:W3CDTF">2018-06-08T13:00:38Z</dcterms:created>
  <dcterms:modified xsi:type="dcterms:W3CDTF">2022-02-18T14:24:39Z</dcterms:modified>
</cp:coreProperties>
</file>